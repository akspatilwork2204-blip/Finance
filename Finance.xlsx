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20" activeTab="2"/>
  </bookViews>
  <sheets>
    <sheet name="Contribution" sheetId="1" r:id="rId1"/>
    <sheet name="EMI_Formula" sheetId="2" r:id="rId2"/>
    <sheet name="LoanTakenAndEMI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<sst xmlns="http://schemas.openxmlformats.org/spreadsheetml/2006/main" count="51" uniqueCount="49">
  <si>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r>
      <rPr>
        <sz val="12"/>
        <color rgb="FF000000"/>
        <rFont val="Calibri"/>
        <charset val="0"/>
        <scheme val="minor"/>
      </rPr>
      <t>Name</t>
    </r>
    <r>
      <rPr>
        <sz val="12"/>
        <color rgb="FF000000"/>
        <rFont val="Calibri"/>
        <charset val="0"/>
        <scheme val="minor"/>
      </rPr>
      <t xml:space="preserve"> </t>
    </r>
  </si>
  <si>
    <t>initial contribution</t>
  </si>
  <si>
    <t>Monthly Contribution</t>
  </si>
  <si>
    <t xml:space="preserve">Total Contribution </t>
  </si>
  <si>
    <t>Nagesh</t>
  </si>
  <si>
    <t>Shridhar</t>
  </si>
  <si>
    <t>VeerBadra</t>
  </si>
  <si>
    <t>Sachin</t>
  </si>
  <si>
    <t>Sreenath</t>
  </si>
  <si>
    <t>Sunil</t>
  </si>
  <si>
    <t>Nagbhushan</t>
  </si>
  <si>
    <t>GuruPrasad</t>
  </si>
  <si>
    <t>Prem</t>
  </si>
  <si>
    <t>Akshay</t>
  </si>
  <si>
    <t>Loan Taken By</t>
  </si>
  <si>
    <t xml:space="preserve">Intrest </t>
  </si>
  <si>
    <t xml:space="preserve">Amount </t>
  </si>
  <si>
    <t xml:space="preserve">Duration </t>
  </si>
  <si>
    <t xml:space="preserve">Principal </t>
  </si>
  <si>
    <t xml:space="preserve">First month </t>
  </si>
  <si>
    <t xml:space="preserve">second month </t>
  </si>
  <si>
    <t xml:space="preserve">Third </t>
  </si>
  <si>
    <t>Forth</t>
  </si>
  <si>
    <t>Fifth</t>
  </si>
  <si>
    <t>Sixth</t>
  </si>
  <si>
    <t>Seventh</t>
  </si>
  <si>
    <t xml:space="preserve">Eight </t>
  </si>
  <si>
    <t>Nine</t>
  </si>
  <si>
    <t>Tenth</t>
  </si>
  <si>
    <t>Eleven</t>
  </si>
  <si>
    <t>Twelve</t>
  </si>
  <si>
    <t>1 percant</t>
  </si>
  <si>
    <t>Amount</t>
  </si>
  <si>
    <t>Duration</t>
  </si>
  <si>
    <t>Principal</t>
  </si>
  <si>
    <t>Month_1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</si>
  <si>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</si>
  <si>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</si>
  <si>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</si>
  <si>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</si>
  <si>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</si>
  <si>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</si>
  <si>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</si>
  <si>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</si>
  <si>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</si>
  <si>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</si>
  <si>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</si>
  <si>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Month_13</t>
  </si>
  <si>
    <t xml:space="preserve">VeerBadra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</si>
</sst>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sz val="11"/>
      <color rgb="FF000000"/>
      <name val="Calibri"/>
      <charset val="134"/>
      <scheme val="minor"/>
    </font>
    <font>
      <sz val="12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wrapText="1"/>
    </xf>
    <xf numFmtId="0" fontId="3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H17"/>
  <sheetViews>
    <sheetView workbookViewId="0">
      <selection activeCell="G17" sqref="G17"/>
    </sheetView>
  </sheetViews>
  <sheetFormatPr defaultColWidth="9" defaultRowHeight="16.8" outlineLevelCol="7"/>
  <cols>
    <col min="4" max="4" width="4.0390625" customWidth="1"/>
    <col min="5" max="5" width="15.625" customWidth="1"/>
    <col min="6" max="6" width="16.796875" customWidth="1"/>
    <col min="7" max="7" width="21.3515625" customWidth="1"/>
    <col min="8" max="8" width="16.2734375" customWidth="1"/>
  </cols>
  <sheetData>
    <row r="3" ht="18" spans="5:8">
      <c r="E3" s="7" t="s">
        <v>0</v>
      </c>
      <c r="F3" s="8" t="s">
        <v>1</v>
      </c>
      <c r="G3" s="8" t="s">
        <v>2</v>
      </c>
      <c r="H3" t="s">
        <v>3</v>
      </c>
    </row>
    <row r="4" ht="17.6" spans="5:7">
      <c r="E4" s="8"/>
      <c r="F4" s="8"/>
      <c r="G4" s="8">
        <v>0</v>
      </c>
    </row>
    <row r="5" ht="17.6" spans="5:7">
      <c r="E5" s="8"/>
      <c r="F5" s="8"/>
      <c r="G5" s="8">
        <f>2000*G4</f>
        <v>0</v>
      </c>
    </row>
    <row r="6" ht="17.6" spans="5:8">
      <c r="E6" s="7" t="s">
        <v>4</v>
      </c>
      <c r="F6" s="8">
        <v>10000</v>
      </c>
      <c r="G6" s="8">
        <v>2000</v>
      </c>
      <c r="H6">
        <f t="shared" ref="H6:H15" si="0">F6+G6</f>
        <v>12000</v>
      </c>
    </row>
    <row r="7" ht="17.6" spans="5:8">
      <c r="E7" s="7" t="s">
        <v>5</v>
      </c>
      <c r="F7" s="8">
        <v>10000</v>
      </c>
      <c r="G7" s="8">
        <v>2000</v>
      </c>
      <c r="H7">
        <f t="shared" si="0"/>
        <v>12000</v>
      </c>
    </row>
    <row r="8" ht="17.6" spans="5:8">
      <c r="E8" s="7" t="s">
        <v>6</v>
      </c>
      <c r="F8" s="8">
        <v>10000</v>
      </c>
      <c r="G8" s="8">
        <v>2000</v>
      </c>
      <c r="H8">
        <f t="shared" si="0"/>
        <v>12000</v>
      </c>
    </row>
    <row r="9" ht="18" spans="5:8">
      <c r="E9" s="9" t="s">
        <v>7</v>
      </c>
      <c r="F9" s="8">
        <v>10000</v>
      </c>
      <c r="G9" s="8">
        <v>2000</v>
      </c>
      <c r="H9">
        <f t="shared" si="0"/>
        <v>12000</v>
      </c>
    </row>
    <row r="10" ht="17.6" spans="5:8">
      <c r="E10" s="7" t="s">
        <v>8</v>
      </c>
      <c r="F10" s="8">
        <v>10000</v>
      </c>
      <c r="G10" s="8">
        <v>2000</v>
      </c>
      <c r="H10">
        <f t="shared" si="0"/>
        <v>12000</v>
      </c>
    </row>
    <row r="11" ht="17.6" spans="5:8">
      <c r="E11" s="7" t="s">
        <v>9</v>
      </c>
      <c r="F11" s="8">
        <v>10000</v>
      </c>
      <c r="G11" s="8">
        <v>2000</v>
      </c>
      <c r="H11">
        <f t="shared" si="0"/>
        <v>12000</v>
      </c>
    </row>
    <row r="12" ht="17.6" spans="5:8">
      <c r="E12" s="7" t="s">
        <v>10</v>
      </c>
      <c r="F12" s="8">
        <v>10000</v>
      </c>
      <c r="G12" s="8">
        <v>2000</v>
      </c>
      <c r="H12">
        <f t="shared" si="0"/>
        <v>12000</v>
      </c>
    </row>
    <row r="13" ht="17.6" spans="5:8">
      <c r="E13" s="7" t="s">
        <v>11</v>
      </c>
      <c r="F13" s="8">
        <v>10000</v>
      </c>
      <c r="G13" s="8">
        <v>2000</v>
      </c>
      <c r="H13">
        <f t="shared" si="0"/>
        <v>12000</v>
      </c>
    </row>
    <row r="14" ht="17.6" spans="5:8">
      <c r="E14" s="7" t="s">
        <v>12</v>
      </c>
      <c r="F14" s="8">
        <v>10000</v>
      </c>
      <c r="G14" s="8">
        <v>2000</v>
      </c>
      <c r="H14">
        <f t="shared" si="0"/>
        <v>12000</v>
      </c>
    </row>
    <row r="15" ht="17.6" spans="5:8">
      <c r="E15" s="7" t="s">
        <v>13</v>
      </c>
      <c r="F15" s="8">
        <v>10000</v>
      </c>
      <c r="G15" s="8">
        <v>2000</v>
      </c>
      <c r="H15">
        <f t="shared" si="0"/>
        <v>12000</v>
      </c>
    </row>
    <row r="16" ht="17.6" spans="5:7">
      <c r="E16" s="8"/>
      <c r="F16" s="8"/>
      <c r="G16" s="8"/>
    </row>
    <row r="17" ht="17.6" spans="5:7">
      <c r="E17" s="7"/>
      <c r="F17" s="10"/>
      <c r="G17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AB11"/>
  <sheetViews>
    <sheetView workbookViewId="0">
      <selection activeCell="G11" sqref="G11"/>
    </sheetView>
  </sheetViews>
  <sheetFormatPr defaultColWidth="9" defaultRowHeight="16.8"/>
  <cols>
    <col min="2" max="2" width="4.6875" customWidth="1"/>
    <col min="3" max="3" width="14.1953125" customWidth="1"/>
    <col min="4" max="4" width="20.703125" customWidth="1"/>
    <col min="5" max="5" width="15.875" customWidth="1"/>
    <col min="6" max="6" width="13.28125" customWidth="1"/>
    <col min="8" max="8" width="11.578125" customWidth="1"/>
    <col min="9" max="9" width="10.9296875" customWidth="1"/>
  </cols>
  <sheetData>
    <row r="7" spans="3:19">
      <c r="C7" s="1" t="s">
        <v>14</v>
      </c>
      <c r="D7" t="s">
        <v>15</v>
      </c>
      <c r="E7" s="1" t="s">
        <v>16</v>
      </c>
      <c r="F7" s="1" t="s">
        <v>17</v>
      </c>
      <c r="G7" t="s">
        <v>18</v>
      </c>
      <c r="H7" s="1" t="s">
        <v>19</v>
      </c>
      <c r="I7" s="1" t="s">
        <v>20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  <c r="R7" t="s">
        <v>29</v>
      </c>
      <c r="S7" t="s">
        <v>30</v>
      </c>
    </row>
    <row r="9" ht="17" spans="1:28">
      <c r="A9" t="s">
        <v>31</v>
      </c>
      <c r="C9" s="1"/>
      <c r="D9" t="e">
        <f>($F9/2)*(($E9*1%)+(($E9*1%)/$F9))</f>
        <v>#DIV/0!</v>
      </c>
      <c r="E9" s="1">
        <v>0</v>
      </c>
      <c r="F9">
        <v>0</v>
      </c>
      <c r="G9" t="e">
        <f>E9/F9</f>
        <v>#DIV/0!</v>
      </c>
      <c r="H9" s="6" t="e">
        <f>$G9+(($E9-(COLUMNS($H9:H9)-1)*$G9)*1%)</f>
        <v>#DIV/0!</v>
      </c>
      <c r="I9" s="6" t="e">
        <f>$G9+(($E9-(COLUMNS($H9:I9)-1)*$G9)*1%)</f>
        <v>#DIV/0!</v>
      </c>
      <c r="J9" s="6" t="e">
        <f>$G9+(($E9-(COLUMNS($H9:J9)-1)*$G9)*1%)</f>
        <v>#DIV/0!</v>
      </c>
      <c r="K9" s="6" t="e">
        <f>$G9+(($E9-(COLUMNS($H9:K9)-1)*$G9)*1%)</f>
        <v>#DIV/0!</v>
      </c>
      <c r="L9" s="6" t="e">
        <f>$G9+(($E9-(COLUMNS($H9:L9)-1)*$G9)*1%)</f>
        <v>#DIV/0!</v>
      </c>
      <c r="M9" s="6" t="e">
        <f>$G9+(($E9-(COLUMNS($H9:M9)-1)*$G9)*1%)</f>
        <v>#DIV/0!</v>
      </c>
      <c r="N9" s="6" t="e">
        <f>$G9+(($E9-(COLUMNS($H9:N9)-1)*$G9)*1%)</f>
        <v>#DIV/0!</v>
      </c>
      <c r="O9" s="6" t="e">
        <f>$G9+(($E9-(COLUMNS($H9:O9)-1)*$G9)*1%)</f>
        <v>#DIV/0!</v>
      </c>
      <c r="P9" s="6" t="e">
        <f>$G9+(($E9-(COLUMNS($H9:P9)-1)*$G9)*1%)</f>
        <v>#DIV/0!</v>
      </c>
      <c r="Q9" s="6" t="e">
        <f>$G9+(($E9-(COLUMNS($H9:Q9)-1)*$G9)*1%)</f>
        <v>#DIV/0!</v>
      </c>
      <c r="R9" s="6" t="str">
        <f>IF((COLUMN()-COLUMN($H$9)+1)&lt;=$F9,$G9+($E9*1%)*(1-((COLUMN()-COLUMN($H$9)+1)/$F9)),"")</f>
        <v/>
      </c>
      <c r="S9" s="6" t="str">
        <f>IF((COLUMN()-COLUMN($H$9)+1)&lt;=$F9,$G9+($E9*1%)*(1-((COLUMN()-COLUMN($H$9)+1)/$F9)),"")</f>
        <v/>
      </c>
      <c r="T9" s="6" t="str">
        <f t="shared" ref="T9:AB9" si="0">IF((COLUMN()-8)&lt;=$F9,$G9+MAX(0,($E9*1%)*(1-((COLUMN()-8)/$F9))),"")</f>
        <v/>
      </c>
      <c r="U9" s="6" t="str">
        <f t="shared" si="0"/>
        <v/>
      </c>
      <c r="V9" s="6" t="str">
        <f t="shared" si="0"/>
        <v/>
      </c>
      <c r="W9" s="6" t="str">
        <f t="shared" si="0"/>
        <v/>
      </c>
      <c r="X9" s="6" t="str">
        <f t="shared" si="0"/>
        <v/>
      </c>
      <c r="Y9" s="6" t="str">
        <f t="shared" si="0"/>
        <v/>
      </c>
      <c r="Z9" s="6" t="str">
        <f t="shared" si="0"/>
        <v/>
      </c>
      <c r="AA9" s="6" t="str">
        <f t="shared" si="0"/>
        <v/>
      </c>
      <c r="AB9" s="6" t="str">
        <f t="shared" si="0"/>
        <v/>
      </c>
    </row>
    <row r="10" spans="4:5">
      <c r="D10" s="1"/>
      <c r="E10" s="1"/>
    </row>
    <row r="11" spans="1:17">
      <c r="A11">
        <v>0.75</v>
      </c>
      <c r="D11" t="e">
        <f>($F11/2)*(($E11*0.75%)+(($E11*0.75%)/$F11))</f>
        <v>#DIV/0!</v>
      </c>
      <c r="E11">
        <v>0</v>
      </c>
      <c r="F11">
        <v>0</v>
      </c>
      <c r="G11" t="e">
        <f>E11/F11</f>
        <v>#DIV/0!</v>
      </c>
      <c r="H11" t="e">
        <f>$G11+(($E11-(COLUMNS($H11:H11)-1)*$G11)*0.75%)</f>
        <v>#DIV/0!</v>
      </c>
      <c r="I11" t="e">
        <f>$G11+(($E11-(COLUMNS($H11:I11)-1)*$G11)*0.75%)</f>
        <v>#DIV/0!</v>
      </c>
      <c r="J11" t="e">
        <f>$G11+(($E11-(COLUMNS($H11:J11)-1)*$G11)*0.75%)</f>
        <v>#DIV/0!</v>
      </c>
      <c r="K11" t="e">
        <f>$G11+(($E11-(COLUMNS($H11:K11)-1)*$G11)*0.75%)</f>
        <v>#DIV/0!</v>
      </c>
      <c r="L11" t="e">
        <f>$G11+(($E11-(COLUMNS($H11:L11)-1)*$G11)*0.75%)</f>
        <v>#DIV/0!</v>
      </c>
      <c r="M11" t="e">
        <f>$G11+(($E11-(COLUMNS($H11:M11)-1)*$G11)*0.75%)</f>
        <v>#DIV/0!</v>
      </c>
      <c r="N11" t="e">
        <f>$G11+(($E11-(COLUMNS($H11:N11)-1)*$G11)*0.75%)</f>
        <v>#DIV/0!</v>
      </c>
      <c r="O11" t="e">
        <f>$G11+(($E11-(COLUMNS($H11:O11)-1)*$G11)*0.75%)</f>
        <v>#DIV/0!</v>
      </c>
      <c r="P11" t="e">
        <f>$G11+(($E11-(COLUMNS($H11:P11)-1)*$G11)*0.75%)</f>
        <v>#DIV/0!</v>
      </c>
      <c r="Q11" t="e">
        <f>$G11+(($E11-(COLUMNS($H11:Q11)-1)*$G11)*0.75%)</f>
        <v>#DIV/0!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U9"/>
  <sheetViews>
    <sheetView tabSelected="1" topLeftCell="D1" workbookViewId="0">
      <selection activeCell="H11" sqref="H11"/>
    </sheetView>
  </sheetViews>
  <sheetFormatPr defaultColWidth="9" defaultRowHeight="16.8"/>
  <cols>
    <col min="3" max="3" width="7.1640625" customWidth="1"/>
    <col min="4" max="4" width="19.0078125" customWidth="1"/>
    <col min="5" max="5" width="21.21875" customWidth="1"/>
    <col min="8" max="8" width="16.015625" customWidth="1"/>
  </cols>
  <sheetData>
    <row r="6" spans="5:21">
      <c r="E6" s="1" t="str">
        <f ca="1">"Interest = "&amp;SUM(E7:E8)</f>
        <v>Interest = 4250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45</v>
      </c>
      <c r="T6" t="s">
        <v>46</v>
      </c>
      <c r="U6" t="s">
        <v>47</v>
      </c>
    </row>
    <row r="7" spans="4:18">
      <c r="D7" s="1" t="s">
        <v>8</v>
      </c>
      <c r="E7">
        <f ca="1">($F7/2)*(($E7*1%)+(($E7*1%)/$F7))</f>
        <v>2750</v>
      </c>
      <c r="F7" s="1">
        <v>50000</v>
      </c>
      <c r="G7">
        <v>10</v>
      </c>
      <c r="H7">
        <f>F7/G7</f>
        <v>5000</v>
      </c>
      <c r="I7" s="5">
        <v>5375</v>
      </c>
      <c r="J7" s="5">
        <v>5337.5</v>
      </c>
      <c r="K7" s="5">
        <v>5300</v>
      </c>
      <c r="L7" s="5">
        <v>5262.5</v>
      </c>
      <c r="M7" s="5">
        <v>5225</v>
      </c>
      <c r="N7" s="5">
        <v>5187.5</v>
      </c>
      <c r="O7" s="5">
        <v>5150</v>
      </c>
      <c r="P7" s="5">
        <v>5112.5</v>
      </c>
      <c r="Q7" s="5">
        <v>5075</v>
      </c>
      <c r="R7" s="5">
        <v>5037.5</v>
      </c>
    </row>
    <row r="8" spans="4:13">
      <c r="D8" s="1" t="s">
        <v>48</v>
      </c>
      <c r="E8">
        <f ca="1">($F8/2)*(($E8*1%)+(($E8*1%)/$F8))</f>
        <v>1500</v>
      </c>
      <c r="F8" s="1">
        <v>50000</v>
      </c>
      <c r="G8">
        <v>5</v>
      </c>
      <c r="H8">
        <f>F8/G8</f>
        <v>10000</v>
      </c>
      <c r="I8" s="5">
        <v>10375</v>
      </c>
      <c r="J8" s="5">
        <v>10300</v>
      </c>
      <c r="K8" s="5">
        <v>10225</v>
      </c>
      <c r="L8" s="5">
        <v>10150</v>
      </c>
      <c r="M8" s="5">
        <v>10075</v>
      </c>
    </row>
    <row r="9" spans="4:13">
      <c r="D9" s="2" t="s">
        <v>13</v>
      </c>
      <c r="E9" s="3">
        <v>536.25</v>
      </c>
      <c r="F9" s="4">
        <v>35750</v>
      </c>
      <c r="G9" s="3">
        <v>3</v>
      </c>
      <c r="H9" s="3">
        <v>11917</v>
      </c>
      <c r="I9" s="5">
        <v>12185</v>
      </c>
      <c r="J9" s="5">
        <v>12096</v>
      </c>
      <c r="K9" s="5">
        <v>12006</v>
      </c>
      <c r="L9" s="6"/>
      <c r="M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Contribution</vt:lpstr>
      <vt:lpstr>EMI_Formula</vt:lpstr>
      <vt:lpstr>LoanTakenAndEMIDetails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saaaga</dc:creator>
  <cp:lastModifiedBy>saaaga</cp:lastModifiedBy>
  <dcterms:created xsi:type="dcterms:W3CDTF">2026-02-11T01:55:00Z</dcterms:created>
  <dcterms:modified xsi:type="dcterms:W3CDTF">2026-03-02T21:51:51Z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34933F0BFC8FF36B1FB9A56902E110E6_43</vt:lpwstr>
  </property>
  <property fmtid="{D5CDD505-2E9C-101B-9397-08002B2CF9AE}" pid="3" name="KSOProductBuildVer">
    <vt:lpwstr>1033-12.1.23155.23155</vt:lpwstr>
  </property>
</Properties>
</file>