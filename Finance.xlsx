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520" activeTab="2"/>
  </bookViews>
  <sheets>
    <sheet name="Contribution" sheetId="1" r:id="rId1"/>
    <sheet name="EMI_Formula" sheetId="2" r:id="rId2"/>
    <sheet name="LoanTakenAndEMIDetai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<sst xmlns="http://schemas.openxmlformats.org/spreadsheetml/2006/main" count="48" uniqueCount="47">
  <si>
    <r>
      <t>Name</t>
    </r>
    <r>
      <rPr>
        <sz val="12"/>
        <color rgb="FF000000"/>
        <rFont val="Calibri"/>
        <charset val="0"/>
        <scheme val="minor"/>
      </rPr>
      <t xml:space="preserve"> </t>
    </r>
  </si>
  <si>
    <t>initial contribution</t>
  </si>
  <si>
    <t>Monthly Contribution</t>
  </si>
  <si>
    <t xml:space="preserve">Total Contribution </t>
  </si>
  <si>
    <t>Nagesh</t>
  </si>
  <si>
    <t>Shridhar</t>
  </si>
  <si>
    <t>VeerBadra</t>
  </si>
  <si>
    <t>Sachin</t>
  </si>
  <si>
    <t>Sreenath</t>
  </si>
  <si>
    <t>Sunil</t>
  </si>
  <si>
    <t>Nagbhushan</t>
  </si>
  <si>
    <t>GuruPrasad</t>
  </si>
  <si>
    <t>Prem</t>
  </si>
  <si>
    <t>Akshay</t>
  </si>
  <si>
    <t>Loan Taken By</t>
  </si>
  <si>
    <t xml:space="preserve">Intrest </t>
  </si>
  <si>
    <t xml:space="preserve">Amount </t>
  </si>
  <si>
    <t xml:space="preserve">Duration </t>
  </si>
  <si>
    <t xml:space="preserve">Principal </t>
  </si>
  <si>
    <t xml:space="preserve">First month </t>
  </si>
  <si>
    <t xml:space="preserve">second month </t>
  </si>
  <si>
    <t xml:space="preserve">Third </t>
  </si>
  <si>
    <t>Forth</t>
  </si>
  <si>
    <t>Fifth</t>
  </si>
  <si>
    <t>Sixth</t>
  </si>
  <si>
    <t>Seventh</t>
  </si>
  <si>
    <t xml:space="preserve">Eight </t>
  </si>
  <si>
    <t>Nine</t>
  </si>
  <si>
    <t>Tenth</t>
  </si>
  <si>
    <t>Eleven</t>
  </si>
  <si>
    <t>Twelve</t>
  </si>
  <si>
    <t>Amount</t>
  </si>
  <si>
    <t>Duration</t>
  </si>
  <si>
    <t>Month_1</t>
  </si>
  <si>
    <t>Month_2</t>
  </si>
  <si>
    <t>Month_3</t>
  </si>
  <si>
    <t>Month_4</t>
  </si>
  <si>
    <t>Month_5</t>
  </si>
  <si>
    <t>Month_6</t>
  </si>
  <si>
    <t>Month_7</t>
  </si>
  <si>
    <t>Month_8</t>
  </si>
  <si>
    <t>Month_9</t>
  </si>
  <si>
    <t>Month_10</t>
  </si>
  <si>
    <t>Month_11</t>
  </si>
  <si>
    <t>Month_12</t>
  </si>
  <si>
    <t>Month_13</t>
  </si>
  <si>
    <t xml:space="preserve">VeerBadra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</si>
</sst>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1">
    <font>
      <sz val="11"/>
      <color theme="1"/>
      <name val="Calibri"/>
      <charset val="134"/>
      <scheme val="minor"/>
    </font>
    <font>
      <sz val="12"/>
      <color rgb="FF00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/>
    <xf numFmtId="0" fontId="1" fillId="0" borderId="0" xfId="0" applyFont="1" applyAlignment="1">
      <alignment horizontal="center" wrapText="1"/>
    </xf>
    <xf numFmtId="0" fontId="1" fillId="0" borderId="0" xfId="0" applyNumberFormat="1" applyFont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H17"/>
  <sheetViews>
    <sheetView workbookViewId="0">
      <selection activeCell="E19" sqref="E19"/>
    </sheetView>
  </sheetViews>
  <sheetFormatPr defaultColWidth="9" defaultRowHeight="16.8" outlineLevelCol="7"/>
  <cols>
    <col min="4" max="4" width="4.0390625" customWidth="1"/>
    <col min="5" max="5" width="15.625" customWidth="1"/>
    <col min="6" max="6" width="16.796875" customWidth="1"/>
    <col min="7" max="7" width="21.3515625" customWidth="1"/>
    <col min="8" max="8" width="16.2734375" customWidth="1"/>
  </cols>
  <sheetData>
    <row r="3" ht="18" spans="5:8">
      <c r="E3" s="3" t="s">
        <v>0</v>
      </c>
      <c r="F3" s="4" t="s">
        <v>1</v>
      </c>
      <c r="G3" s="4" t="s">
        <v>2</v>
      </c>
      <c r="H3" t="s">
        <v>3</v>
      </c>
    </row>
    <row r="4" ht="17.6" spans="5:7">
      <c r="E4" s="4"/>
      <c r="F4" s="4"/>
      <c r="G4" s="4">
        <v>0</v>
      </c>
    </row>
    <row r="5" ht="17.6" spans="5:7">
      <c r="E5" s="4"/>
      <c r="F5" s="4"/>
      <c r="G5" s="4">
        <f>2000*G4</f>
        <v>0</v>
      </c>
    </row>
    <row r="6" ht="17.6" spans="5:8">
      <c r="E6" s="3" t="s">
        <v>4</v>
      </c>
      <c r="F6" s="4">
        <v>10000</v>
      </c>
      <c r="G6" s="4">
        <f>G5</f>
        <v>0</v>
      </c>
      <c r="H6">
        <f>F6+G6</f>
        <v>10000</v>
      </c>
    </row>
    <row r="7" ht="17.6" spans="5:8">
      <c r="E7" s="3" t="s">
        <v>5</v>
      </c>
      <c r="F7" s="4">
        <v>10000</v>
      </c>
      <c r="G7" s="4">
        <f>G5</f>
        <v>0</v>
      </c>
      <c r="H7">
        <f>F7+G7</f>
        <v>10000</v>
      </c>
    </row>
    <row r="8" ht="17.6" spans="5:8">
      <c r="E8" s="3" t="s">
        <v>6</v>
      </c>
      <c r="F8" s="4">
        <v>10000</v>
      </c>
      <c r="G8" s="4">
        <f>G5</f>
        <v>0</v>
      </c>
      <c r="H8">
        <f>F8+G8</f>
        <v>10000</v>
      </c>
    </row>
    <row r="9" ht="18" spans="5:8">
      <c r="E9" s="5" t="s">
        <v>7</v>
      </c>
      <c r="F9" s="4">
        <v>10000</v>
      </c>
      <c r="G9" s="4">
        <f>G5</f>
        <v>0</v>
      </c>
      <c r="H9">
        <f>F9+G9</f>
        <v>10000</v>
      </c>
    </row>
    <row r="10" ht="17.6" spans="5:8">
      <c r="E10" s="3" t="s">
        <v>8</v>
      </c>
      <c r="F10" s="4">
        <v>10000</v>
      </c>
      <c r="G10" s="4">
        <f>G5</f>
        <v>0</v>
      </c>
      <c r="H10">
        <f>F10+G10</f>
        <v>10000</v>
      </c>
    </row>
    <row r="11" ht="17.6" spans="5:8">
      <c r="E11" s="3" t="s">
        <v>9</v>
      </c>
      <c r="F11" s="4">
        <v>10000</v>
      </c>
      <c r="G11" s="4">
        <f>G5</f>
        <v>0</v>
      </c>
      <c r="H11">
        <f>F11+G11</f>
        <v>10000</v>
      </c>
    </row>
    <row r="12" ht="17.6" spans="5:8">
      <c r="E12" s="3" t="s">
        <v>10</v>
      </c>
      <c r="F12" s="4">
        <v>10000</v>
      </c>
      <c r="G12" s="4">
        <f>G5</f>
        <v>0</v>
      </c>
      <c r="H12">
        <f>F12+G12</f>
        <v>10000</v>
      </c>
    </row>
    <row r="13" ht="17.6" spans="5:8">
      <c r="E13" s="3" t="s">
        <v>11</v>
      </c>
      <c r="F13" s="4">
        <v>10000</v>
      </c>
      <c r="G13" s="4">
        <f>G5</f>
        <v>0</v>
      </c>
      <c r="H13">
        <f>F13+G13</f>
        <v>10000</v>
      </c>
    </row>
    <row r="14" ht="17.6" spans="5:8">
      <c r="E14" s="3" t="s">
        <v>12</v>
      </c>
      <c r="F14" s="4">
        <v>10000</v>
      </c>
      <c r="G14" s="4">
        <f>G5</f>
        <v>0</v>
      </c>
      <c r="H14">
        <f>F14+G14</f>
        <v>10000</v>
      </c>
    </row>
    <row r="15" ht="17.6" spans="5:8">
      <c r="E15" s="3" t="s">
        <v>13</v>
      </c>
      <c r="F15" s="4">
        <v>10000</v>
      </c>
      <c r="G15" s="4">
        <f>G5</f>
        <v>0</v>
      </c>
      <c r="H15">
        <f>F15+G15</f>
        <v>10000</v>
      </c>
    </row>
    <row r="16" ht="17.6" spans="5:7">
      <c r="E16" s="4"/>
      <c r="F16" s="4"/>
      <c r="G16" s="4"/>
    </row>
    <row r="17" ht="17.6" spans="5:7">
      <c r="E17" s="3"/>
      <c r="F17" s="6"/>
      <c r="G17" s="6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7:AB10"/>
  <sheetViews>
    <sheetView workbookViewId="0">
      <selection activeCell="D10" sqref="D10"/>
    </sheetView>
  </sheetViews>
  <sheetFormatPr defaultColWidth="9" defaultRowHeight="16.8"/>
  <cols>
    <col min="2" max="2" width="4.6875" customWidth="1"/>
    <col min="3" max="3" width="14.1953125" customWidth="1"/>
    <col min="4" max="4" width="20.703125" customWidth="1"/>
    <col min="5" max="5" width="15.875" customWidth="1"/>
    <col min="6" max="6" width="13.28125" customWidth="1"/>
    <col min="8" max="8" width="11.578125" customWidth="1"/>
    <col min="9" max="9" width="10.9296875" customWidth="1"/>
  </cols>
  <sheetData>
    <row r="7" spans="3:19">
      <c r="C7" s="1" t="s">
        <v>14</v>
      </c>
      <c r="D7" t="s">
        <v>15</v>
      </c>
      <c r="E7" s="1" t="s">
        <v>16</v>
      </c>
      <c r="F7" s="1" t="s">
        <v>17</v>
      </c>
      <c r="G7" t="s">
        <v>18</v>
      </c>
      <c r="H7" s="1" t="s">
        <v>19</v>
      </c>
      <c r="I7" s="1" t="s">
        <v>20</v>
      </c>
      <c r="J7" t="s">
        <v>21</v>
      </c>
      <c r="K7" t="s">
        <v>22</v>
      </c>
      <c r="L7" t="s">
        <v>23</v>
      </c>
      <c r="M7" t="s">
        <v>24</v>
      </c>
      <c r="N7" t="s">
        <v>25</v>
      </c>
      <c r="O7" t="s">
        <v>26</v>
      </c>
      <c r="P7" t="s">
        <v>27</v>
      </c>
      <c r="Q7" t="s">
        <v>28</v>
      </c>
      <c r="R7" t="s">
        <v>29</v>
      </c>
      <c r="S7" t="s">
        <v>30</v>
      </c>
    </row>
    <row r="9" ht="17" spans="3:28">
      <c r="C9" s="1"/>
      <c r="D9" t="e">
        <f>($F9/2)*(($E9*1%)+(($E9*1%)/$F9))</f>
        <v>#DIV/0!</v>
      </c>
      <c r="E9" s="1">
        <v>0</v>
      </c>
      <c r="F9">
        <v>0</v>
      </c>
      <c r="G9" t="e">
        <f>E9/F9</f>
        <v>#DIV/0!</v>
      </c>
      <c r="H9" s="2" t="str">
        <f>IF((COLUMN()-COLUMN($H$9)+1)&lt;=$F9,$G9+($E9*1%)*(1-((COLUMN()-COLUMN($H$9)+1)/$F9)),"")</f>
        <v/>
      </c>
      <c r="I9" s="2" t="str">
        <f>IF((COLUMN()-COLUMN($H$9)+1)&lt;=$F9,$G9+($E9*1%)*(1-((COLUMN()-COLUMN($H$9)+1)/$F9)),"")</f>
        <v/>
      </c>
      <c r="J9" s="2" t="str">
        <f>IF((COLUMN()-COLUMN($H$9)+1)&lt;=$F9,$G9+($E9*1%)*(1-((COLUMN()-COLUMN($H$9)+1)/$F9)),"")</f>
        <v/>
      </c>
      <c r="K9" s="2" t="str">
        <f>IF((COLUMN()-COLUMN($H$9)+1)&lt;=$F9,$G9+($E9*1%)*(1-((COLUMN()-COLUMN($H$9)+1)/$F9)),"")</f>
        <v/>
      </c>
      <c r="L9" s="2" t="str">
        <f>IF((COLUMN()-COLUMN($H$9)+1)&lt;=$F9,$G9+($E9*1%)*(1-((COLUMN()-COLUMN($H$9)+1)/$F9)),"")</f>
        <v/>
      </c>
      <c r="M9" s="2" t="str">
        <f>IF((COLUMN()-COLUMN($H$9)+1)&lt;=$F9,$G9+($E9*1%)*(1-((COLUMN()-COLUMN($H$9)+1)/$F9)),"")</f>
        <v/>
      </c>
      <c r="N9" s="2" t="str">
        <f t="shared" ref="N9:S9" si="0">IF((COLUMN()-COLUMN($H$9)+1)&lt;=$F9,$G9+($E9*1%)*(1-((COLUMN()-COLUMN($H$9)+1)/$F9)),"")</f>
        <v/>
      </c>
      <c r="O9" s="2" t="str">
        <f t="shared" si="0"/>
        <v/>
      </c>
      <c r="P9" s="2" t="str">
        <f t="shared" si="0"/>
        <v/>
      </c>
      <c r="Q9" s="2" t="str">
        <f t="shared" si="0"/>
        <v/>
      </c>
      <c r="R9" s="2" t="str">
        <f t="shared" si="0"/>
        <v/>
      </c>
      <c r="S9" s="2" t="str">
        <f t="shared" si="0"/>
        <v/>
      </c>
      <c r="T9" s="2" t="str">
        <f t="shared" ref="T9:AB9" si="1">IF((COLUMN()-8)&lt;=$F9,$G9+MAX(0,($E9*1%)*(1-((COLUMN()-8)/$F9))),"")</f>
        <v/>
      </c>
      <c r="U9" s="2" t="str">
        <f t="shared" si="1"/>
        <v/>
      </c>
      <c r="V9" s="2" t="str">
        <f t="shared" si="1"/>
        <v/>
      </c>
      <c r="W9" s="2" t="str">
        <f t="shared" si="1"/>
        <v/>
      </c>
      <c r="X9" s="2" t="str">
        <f t="shared" si="1"/>
        <v/>
      </c>
      <c r="Y9" s="2" t="str">
        <f t="shared" si="1"/>
        <v/>
      </c>
      <c r="Z9" s="2" t="str">
        <f t="shared" si="1"/>
        <v/>
      </c>
      <c r="AA9" s="2" t="str">
        <f t="shared" si="1"/>
        <v/>
      </c>
      <c r="AB9" s="2" t="str">
        <f t="shared" si="1"/>
        <v/>
      </c>
    </row>
    <row r="10" spans="4:5">
      <c r="D10" s="1"/>
      <c r="E10" s="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U9"/>
  <sheetViews>
    <sheetView tabSelected="1" workbookViewId="0">
      <selection activeCell="D9" sqref="D9:M9"/>
    </sheetView>
  </sheetViews>
  <sheetFormatPr defaultColWidth="9" defaultRowHeight="16.8"/>
  <cols>
    <col min="3" max="3" width="7.1640625" customWidth="1"/>
    <col min="4" max="4" width="19.0078125" customWidth="1"/>
    <col min="5" max="5" width="21.21875" customWidth="1"/>
  </cols>
  <sheetData>
    <row r="6" spans="5:21">
      <c r="E6" s="1" t="str">
        <f>"Interest = "&amp;SUM(E7:E8)</f>
        <v>Interest = 4250</v>
      </c>
      <c r="F6" t="s">
        <v>31</v>
      </c>
      <c r="G6" t="s">
        <v>32</v>
      </c>
      <c r="I6" t="s">
        <v>33</v>
      </c>
      <c r="J6" t="s">
        <v>34</v>
      </c>
      <c r="K6" t="s">
        <v>35</v>
      </c>
      <c r="L6" t="s">
        <v>36</v>
      </c>
      <c r="M6" t="s">
        <v>37</v>
      </c>
      <c r="N6" t="s">
        <v>38</v>
      </c>
      <c r="O6" t="s">
        <v>39</v>
      </c>
      <c r="P6" t="s">
        <v>40</v>
      </c>
      <c r="Q6" t="s">
        <v>41</v>
      </c>
      <c r="R6" t="s">
        <v>42</v>
      </c>
      <c r="S6" t="s">
        <v>43</v>
      </c>
      <c r="T6" t="s">
        <v>44</v>
      </c>
      <c r="U6" t="s">
        <v>45</v>
      </c>
    </row>
    <row r="7" spans="4:18">
      <c r="D7" s="1" t="s">
        <v>8</v>
      </c>
      <c r="E7">
        <f>($G7/2)*(($F7*1%)+(($F7*1%)/$G7))</f>
        <v>2750</v>
      </c>
      <c r="F7" s="1">
        <v>50000</v>
      </c>
      <c r="G7">
        <v>10</v>
      </c>
      <c r="H7">
        <f t="shared" ref="H7:H9" si="0">F7/G7</f>
        <v>5000</v>
      </c>
      <c r="I7">
        <f>(H7+F7*1%)</f>
        <v>5500</v>
      </c>
      <c r="J7">
        <f t="shared" ref="J7:R7" si="1">$H7+(($F7-(COLUMN()-8)*$H7)*1%)</f>
        <v>5400</v>
      </c>
      <c r="K7">
        <f t="shared" si="1"/>
        <v>5350</v>
      </c>
      <c r="L7">
        <f t="shared" si="1"/>
        <v>5300</v>
      </c>
      <c r="M7">
        <f t="shared" si="1"/>
        <v>5250</v>
      </c>
      <c r="N7">
        <f t="shared" si="1"/>
        <v>5200</v>
      </c>
      <c r="O7">
        <f t="shared" si="1"/>
        <v>5150</v>
      </c>
      <c r="P7">
        <f t="shared" si="1"/>
        <v>5100</v>
      </c>
      <c r="Q7">
        <f t="shared" si="1"/>
        <v>5050</v>
      </c>
      <c r="R7">
        <f t="shared" si="1"/>
        <v>5000</v>
      </c>
    </row>
    <row r="8" spans="4:13">
      <c r="D8" s="1" t="s">
        <v>46</v>
      </c>
      <c r="E8">
        <f>($G8/2)*(($F8*1%)+(($F8*1%)/$G8))</f>
        <v>1500</v>
      </c>
      <c r="F8" s="1">
        <v>50000</v>
      </c>
      <c r="G8">
        <v>5</v>
      </c>
      <c r="H8">
        <f t="shared" si="0"/>
        <v>10000</v>
      </c>
      <c r="I8">
        <f>(H8)+(F8*1%)</f>
        <v>10500</v>
      </c>
      <c r="J8" s="2">
        <f t="shared" ref="J8:M8" si="2">IF((COLUMN()-8)&lt;=$G8,$H8+MAX(0,($F8*1%)*(1-((COLUMN()-8)/$G8))),"")</f>
        <v>10300</v>
      </c>
      <c r="K8" s="2">
        <f t="shared" si="2"/>
        <v>10200</v>
      </c>
      <c r="L8" s="2">
        <f t="shared" si="2"/>
        <v>10100</v>
      </c>
      <c r="M8" s="2">
        <f t="shared" si="2"/>
        <v>10000</v>
      </c>
    </row>
    <row r="9" spans="4:13">
      <c r="D9" s="1"/>
      <c r="E9"/>
      <c r="F9" s="1"/>
      <c r="G9"/>
      <c r="H9"/>
      <c r="I9" s="2"/>
      <c r="J9" s="2"/>
      <c r="K9" s="2"/>
      <c r="L9" s="2"/>
      <c r="M9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Contribution</vt:lpstr>
      <vt:lpstr>EMI_Formula</vt:lpstr>
      <vt:lpstr>LoanTakenAndEMIDetails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saaaga</dc:creator>
  <cp:lastModifiedBy>saaaga</cp:lastModifiedBy>
  <dcterms:created xsi:type="dcterms:W3CDTF">2026-02-10T20:25:44Z</dcterms:created>
  <dcterms:modified xsi:type="dcterms:W3CDTF">2026-02-10T23:40:41Z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98048D2707280D56B24F8B6969ED539E_43</vt:lpwstr>
  </property>
  <property fmtid="{D5CDD505-2E9C-101B-9397-08002B2CF9AE}" pid="3" name="KSOProductBuildVer">
    <vt:lpwstr>1033-12.1.23155.23155</vt:lpwstr>
  </property>
</Properties>
</file>